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Investimento" sheetId="2" state="visible" r:id="rId4"/>
    <sheet name="Stack" sheetId="3" state="visible" r:id="rId5"/>
    <sheet name="Normas" sheetId="4" state="visible" r:id="rId6"/>
    <sheet name="Unit economics" sheetId="5" state="visible" r:id="rId7"/>
    <sheet name="Equilíbrio e projeção" sheetId="6" state="visible" r:id="rId8"/>
    <sheet name="Receit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<sst xmlns="http://schemas.openxmlformats.org/spreadsheetml/2006/main" count="224" uniqueCount="189">
  <si>
    <t xml:space="preserve">Premissas</t>
  </si>
  <si>
    <t xml:space="preserve">Células em azul são entradas editáveis; todas as outras abas recalculam a partir daqui. ⚠️ = estimativa que não consta nos documentos do projeto.</t>
  </si>
  <si>
    <t xml:space="preserve">Premissa</t>
  </si>
  <si>
    <t xml:space="preserve">Valor</t>
  </si>
  <si>
    <t xml:space="preserve">Fonte</t>
  </si>
  <si>
    <t xml:space="preserve">Ticket médio por Corrida (Preço fechado)</t>
  </si>
  <si>
    <t xml:space="preserve">unit-economics.md</t>
  </si>
  <si>
    <t xml:space="preserve">Comissão da plataforma</t>
  </si>
  <si>
    <t xml:space="preserve">ADR-0003 / CONTEXT.md</t>
  </si>
  <si>
    <t xml:space="preserve">Processamento de pagamento (% do ticket)</t>
  </si>
  <si>
    <t xml:space="preserve">ADR-0004</t>
  </si>
  <si>
    <t xml:space="preserve">Subsídio de disponibilidade por Corrida (meses 1–6)</t>
  </si>
  <si>
    <t xml:space="preserve">Duração do MVP (meses)</t>
  </si>
  <si>
    <t xml:space="preserve">Custos fixos mensais, cenário A (sem pró-labore)</t>
  </si>
  <si>
    <t xml:space="preserve">Custos fixos mensais, cenário B (com 2 contratações)</t>
  </si>
  <si>
    <t xml:space="preserve">Câmbio (R$ por US$) ⚠️</t>
  </si>
  <si>
    <t xml:space="preserve">Estimativa; atualizar na cotação do dia</t>
  </si>
  <si>
    <t xml:space="preserve">Códigos de login enviados por mês ⚠️</t>
  </si>
  <si>
    <t xml:space="preserve">Estimativa</t>
  </si>
  <si>
    <t xml:space="preserve">Custo por código WhatsApp/SMS (R$) ⚠️</t>
  </si>
  <si>
    <t xml:space="preserve">Nº de Frotas âncora</t>
  </si>
  <si>
    <t xml:space="preserve">ADR-0006</t>
  </si>
  <si>
    <t xml:space="preserve">Meses de subsídio às Frotas âncora</t>
  </si>
  <si>
    <t xml:space="preserve">ADR-0006 (90 dias)</t>
  </si>
  <si>
    <t xml:space="preserve">Corridas/mês no mês 3 — mínimo</t>
  </si>
  <si>
    <t xml:space="preserve">Corridas/mês no mês 3 — máximo</t>
  </si>
  <si>
    <t xml:space="preserve">Corridas/mês no mês 12</t>
  </si>
  <si>
    <t xml:space="preserve">Outros custos variáveis na maturidade, por Corrida ⚠️</t>
  </si>
  <si>
    <t xml:space="preserve">Implícito nos documentos (R$ 51 líquido − R$ 48 de contribuição madura); associado a suporte e Disputa</t>
  </si>
  <si>
    <t xml:space="preserve">Número de WhatsApp dedicado (chip), R$/mês ⚠️</t>
  </si>
  <si>
    <t xml:space="preserve">Estimativa: número comprado para o bot de login</t>
  </si>
  <si>
    <t xml:space="preserve">Hospedagem do bot de mensagens, R$/mês ⚠️</t>
  </si>
  <si>
    <t xml:space="preserve">0 se rodar em servidor/n8n já existente; ~R$ 30 em VPS pequena</t>
  </si>
  <si>
    <t xml:space="preserve">Investimento do MVP (6 meses)</t>
  </si>
  <si>
    <t xml:space="preserve">Fonte: unit-economics.md. Desenvolvimento feito pelos fundadores: custo de oportunidade, não caixa.</t>
  </si>
  <si>
    <t xml:space="preserve">Item</t>
  </si>
  <si>
    <t xml:space="preserve">Grupo</t>
  </si>
  <si>
    <t xml:space="preserve">Valor (R$)</t>
  </si>
  <si>
    <t xml:space="preserve">% do total</t>
  </si>
  <si>
    <t xml:space="preserve">Cenário enxuto (R$)</t>
  </si>
  <si>
    <t xml:space="preserve">Desenvolvimento do PWA (3 superfícies)</t>
  </si>
  <si>
    <t xml:space="preserve">Desenvolvimento</t>
  </si>
  <si>
    <t xml:space="preserve">Infraestrutura, mapas, hospedagem e ferramentas</t>
  </si>
  <si>
    <t xml:space="preserve">Operação e oferta</t>
  </si>
  <si>
    <t xml:space="preserve">Constituição da empresa e contabilidade</t>
  </si>
  <si>
    <t xml:space="preserve">Conformidade</t>
  </si>
  <si>
    <t xml:space="preserve">Jurídico (contrato, termos de uso, privacidade)</t>
  </si>
  <si>
    <t xml:space="preserve">Seguro de RC da operação</t>
  </si>
  <si>
    <t xml:space="preserve">Subsídio às Frotas âncora (90 dias)</t>
  </si>
  <si>
    <t xml:space="preserve">Marketing de aquisição (teste de canal)</t>
  </si>
  <si>
    <t xml:space="preserve">Aquisição</t>
  </si>
  <si>
    <t xml:space="preserve">Reserva de contingência</t>
  </si>
  <si>
    <t xml:space="preserve">Contingência</t>
  </si>
  <si>
    <t xml:space="preserve">Total</t>
  </si>
  <si>
    <t xml:space="preserve">Custo médio mensal (total ÷ meses do MVP)</t>
  </si>
  <si>
    <t xml:space="preserve">Subsídio por Frota por mês</t>
  </si>
  <si>
    <t xml:space="preserve">Economia do cenário enxuto vs. base</t>
  </si>
  <si>
    <t xml:space="preserve">Por grupo</t>
  </si>
  <si>
    <t xml:space="preserve">Stack técnica e custo mensal de ferramentas</t>
  </si>
  <si>
    <t xml:space="preserve">Stack do ADR-0008. Preços ⚠️ estimados a partir de tabelas públicas; confirmar com cotação.</t>
  </si>
  <si>
    <t xml:space="preserve">Camada</t>
  </si>
  <si>
    <t xml:space="preserve">Tecnologia</t>
  </si>
  <si>
    <t xml:space="preserve">Enxuto/mês (R$): planos grátis + bot próprio</t>
  </si>
  <si>
    <t xml:space="preserve">Escala/mês (R$): planos pagos + API oficial</t>
  </si>
  <si>
    <t xml:space="preserve">Observação</t>
  </si>
  <si>
    <t xml:space="preserve">Front-end (3 PWAs)</t>
  </si>
  <si>
    <t xml:space="preserve">React, Vite, vite-plugin-pwa, TanStack Query</t>
  </si>
  <si>
    <t xml:space="preserve">Open source</t>
  </si>
  <si>
    <t xml:space="preserve">Hospedagem</t>
  </si>
  <si>
    <t xml:space="preserve">Vercel</t>
  </si>
  <si>
    <t xml:space="preserve">Enxuto: Hobby (grátis; uso não comercial). Escala: Pro, US$ 20</t>
  </si>
  <si>
    <t xml:space="preserve">Back-end</t>
  </si>
  <si>
    <t xml:space="preserve">Supabase (Postgres+PostGIS, Auth, Storage, Realtime)</t>
  </si>
  <si>
    <t xml:space="preserve">Enxuto: Free (pausa por inatividade, sem backup). Escala: Pro, US$ 25</t>
  </si>
  <si>
    <t xml:space="preserve">Mapas, geocoding e rotas</t>
  </si>
  <si>
    <t xml:space="preserve">Mapbox</t>
  </si>
  <si>
    <t xml:space="preserve">Cota gratuita; cobra por uso acima dela</t>
  </si>
  <si>
    <t xml:space="preserve">Login por telefone (código por WhatsApp)</t>
  </si>
  <si>
    <t xml:space="preserve">Enxuto: número próprio + bot (ex.: n8n). Escala: API oficial do WhatsApp</t>
  </si>
  <si>
    <t xml:space="preserve">Enxuto: chip + hospedagem do bot. Escala: códigos/mês × custo por código. Bot não oficial pode ser banido pelo WhatsApp</t>
  </si>
  <si>
    <t xml:space="preserve">Domínio .com.br</t>
  </si>
  <si>
    <t xml:space="preserve">Registro.br</t>
  </si>
  <si>
    <t xml:space="preserve">R$ 40 por ano ÷ 12 (⚠️ estimativa)</t>
  </si>
  <si>
    <t xml:space="preserve">Testes, repositório e CI</t>
  </si>
  <si>
    <t xml:space="preserve">Vitest, Playwright, GitHub</t>
  </si>
  <si>
    <t xml:space="preserve">Gratuitos</t>
  </si>
  <si>
    <t xml:space="preserve">Pagamento (PSP com split)</t>
  </si>
  <si>
    <t xml:space="preserve">Pagar.me / Asaas / Iugu / Mercado Pago</t>
  </si>
  <si>
    <t xml:space="preserve">Sem mensalidade; ~3% por Corrida (ver aba Unit economics)</t>
  </si>
  <si>
    <t xml:space="preserve">Total por mês</t>
  </si>
  <si>
    <t xml:space="preserve">Total no MVP (× meses)</t>
  </si>
  <si>
    <t xml:space="preserve">Verba prevista para infraestrutura</t>
  </si>
  <si>
    <t xml:space="preserve">Folga da verba</t>
  </si>
  <si>
    <t xml:space="preserve">Adequação a normas: custos iniciais</t>
  </si>
  <si>
    <t xml:space="preserve">Bases: ADR-0001, 0004, 0007 e pesquisa regulatória. Não é parecer jurídico; validar com advogado.</t>
  </si>
  <si>
    <t xml:space="preserve">Exigência</t>
  </si>
  <si>
    <t xml:space="preserve">Base</t>
  </si>
  <si>
    <t xml:space="preserve">Quem paga</t>
  </si>
  <si>
    <t xml:space="preserve">Mínimo (R$)</t>
  </si>
  <si>
    <t xml:space="preserve">Máximo (R$)</t>
  </si>
  <si>
    <t xml:space="preserve">Constituição da empresa e contabilidade (6 meses)</t>
  </si>
  <si>
    <t xml:space="preserve">Rede Sim-DF, Junta, alvará</t>
  </si>
  <si>
    <t xml:space="preserve">Plataforma</t>
  </si>
  <si>
    <t xml:space="preserve">Já no orçamento</t>
  </si>
  <si>
    <t xml:space="preserve">Jurídico: contrato, termos de uso, LGPD</t>
  </si>
  <si>
    <t xml:space="preserve">CDC, LGPD</t>
  </si>
  <si>
    <t xml:space="preserve">Seguro de RC da operação (6 meses)</t>
  </si>
  <si>
    <t xml:space="preserve">ADR-0007</t>
  </si>
  <si>
    <t xml:space="preserve">Apólice de avaria, Guinchei cossegurado</t>
  </si>
  <si>
    <t xml:space="preserve">ADR-0007; CDC arts. 7º, 14, 25</t>
  </si>
  <si>
    <t xml:space="preserve">Cada Frota</t>
  </si>
  <si>
    <t xml:space="preserve">Custo da Frota; gera atrito no cadastro</t>
  </si>
  <si>
    <t xml:space="preserve">Verificação manual da Frota (CNPJ, DETRAN, CNH, apólice)</t>
  </si>
  <si>
    <t xml:space="preserve">ADR-0007, Invariante 3</t>
  </si>
  <si>
    <t xml:space="preserve">Sem desembolso; custa horas da operação</t>
  </si>
  <si>
    <t xml:space="preserve">PSP com split, sem custódia</t>
  </si>
  <si>
    <t xml:space="preserve">ADR-0004; Res. BCB 80/2021</t>
  </si>
  <si>
    <t xml:space="preserve">Evita autorização do BC (capital mín. R$ 2 mi)</t>
  </si>
  <si>
    <t xml:space="preserve">Corridas só no DF</t>
  </si>
  <si>
    <t xml:space="preserve">ADR-0001</t>
  </si>
  <si>
    <t xml:space="preserve">Evita regime ANTT/RNTRC/CT-e</t>
  </si>
  <si>
    <t xml:space="preserve">Registro da marca no INPI ⚠️</t>
  </si>
  <si>
    <t xml:space="preserve">Não consta no repositório</t>
  </si>
  <si>
    <t xml:space="preserve">Estimativa; sairia da contingência</t>
  </si>
  <si>
    <t xml:space="preserve">Total pago pela plataforma</t>
  </si>
  <si>
    <t xml:space="preserve">Contabilidade mensal ⚠️ (já inclusa na linha de constituição)</t>
  </si>
  <si>
    <t xml:space="preserve">Estimativa por mês</t>
  </si>
  <si>
    <t xml:space="preserve">Margem por Corrida</t>
  </si>
  <si>
    <t xml:space="preserve">Cálculo a partir das premissas; mudar o ticket ou a comissão atualiza todo o modelo.</t>
  </si>
  <si>
    <t xml:space="preserve">Linha</t>
  </si>
  <si>
    <t xml:space="preserve">Nota</t>
  </si>
  <si>
    <t xml:space="preserve">Ticket médio (Preço fechado)</t>
  </si>
  <si>
    <t xml:space="preserve">Pago pelo Cliente</t>
  </si>
  <si>
    <t xml:space="preserve">Receita bruta de intermediação</t>
  </si>
  <si>
    <t xml:space="preserve">Repasse ao Guincheiro</t>
  </si>
  <si>
    <t xml:space="preserve">Passa pelo PSP; não é custo</t>
  </si>
  <si>
    <t xml:space="preserve">Processamento de pagamento</t>
  </si>
  <si>
    <t xml:space="preserve">~3% do ticket</t>
  </si>
  <si>
    <t xml:space="preserve">Líquido por Corrida (antes de opex)</t>
  </si>
  <si>
    <t xml:space="preserve">Subsídio de disponibilidade (meses 1–6)</t>
  </si>
  <si>
    <t xml:space="preserve">Frotas âncora</t>
  </si>
  <si>
    <t xml:space="preserve">Contribuição inicial (com subsídio)</t>
  </si>
  <si>
    <t xml:space="preserve">Meses 1–6</t>
  </si>
  <si>
    <t xml:space="preserve">Contribuição na maturidade</t>
  </si>
  <si>
    <t xml:space="preserve">Sem subsídio; desconta outros custos variáveis (suporte/Disputa)</t>
  </si>
  <si>
    <t xml:space="preserve">Ponto de equilíbrio e projeção de volume</t>
  </si>
  <si>
    <t xml:space="preserve">Equilíbrio = custos fixos ÷ margem de contribuição por Corrida, arredondado para cima.</t>
  </si>
  <si>
    <t xml:space="preserve">Cenário</t>
  </si>
  <si>
    <t xml:space="preserve">Custos fixos/mês</t>
  </si>
  <si>
    <t xml:space="preserve">Margem/Corrida</t>
  </si>
  <si>
    <t xml:space="preserve">Corridas/mês p/ equilíbrio</t>
  </si>
  <si>
    <t xml:space="preserve">A · início (com subsídio)</t>
  </si>
  <si>
    <t xml:space="preserve">A · maturidade</t>
  </si>
  <si>
    <t xml:space="preserve">B · maturidade (com equipe)</t>
  </si>
  <si>
    <t xml:space="preserve">Projeção</t>
  </si>
  <si>
    <t xml:space="preserve">Mínimo</t>
  </si>
  <si>
    <t xml:space="preserve">Ponto médio</t>
  </si>
  <si>
    <t xml:space="preserve">Máximo</t>
  </si>
  <si>
    <t xml:space="preserve">Mês 3: Corridas/mês</t>
  </si>
  <si>
    <t xml:space="preserve">Mês 3: GMV/mês</t>
  </si>
  <si>
    <t xml:space="preserve">Mês 3: Receita de intermediação/mês</t>
  </si>
  <si>
    <t xml:space="preserve">Mês 12</t>
  </si>
  <si>
    <t xml:space="preserve">Corridas/mês</t>
  </si>
  <si>
    <t xml:space="preserve">GMV/mês</t>
  </si>
  <si>
    <t xml:space="preserve">Receita de intermediação/mês</t>
  </si>
  <si>
    <t xml:space="preserve">Margem de contribuição/mês (maturidade)</t>
  </si>
  <si>
    <t xml:space="preserve">Margem − fixos do cenário B</t>
  </si>
  <si>
    <t xml:space="preserve">Fontes de receita</t>
  </si>
  <si>
    <t xml:space="preserve">Receitas planejadas por fase. Fontes de capital estão listadas à parte: não são receita.</t>
  </si>
  <si>
    <t xml:space="preserve">Fase</t>
  </si>
  <si>
    <t xml:space="preserve">Modelo</t>
  </si>
  <si>
    <t xml:space="preserve">Valor por Corrida (R$)</t>
  </si>
  <si>
    <t xml:space="preserve">Comissão de 20% por Corrida</t>
  </si>
  <si>
    <t xml:space="preserve">1 · MVP</t>
  </si>
  <si>
    <t xml:space="preserve">Sem custo de entrada para o Guincheiro</t>
  </si>
  <si>
    <t xml:space="preserve">Assistência completa (bateria, pneu, pane seca, chaveiro)</t>
  </si>
  <si>
    <t xml:space="preserve">2</t>
  </si>
  <si>
    <t xml:space="preserve">Mesma comissão, mais categorias</t>
  </si>
  <si>
    <t xml:space="preserve">a definir</t>
  </si>
  <si>
    <t xml:space="preserve">Contratos B2B2C com seguradoras e assistências 24h</t>
  </si>
  <si>
    <t xml:space="preserve">3</t>
  </si>
  <si>
    <t xml:space="preserve">Receita recorrente</t>
  </si>
  <si>
    <t xml:space="preserve">Novas praças (Goiânia e entorno)</t>
  </si>
  <si>
    <t xml:space="preserve">Mesmo modelo, mais volume</t>
  </si>
  <si>
    <t xml:space="preserve">Fontes de capital (não são receita)</t>
  </si>
  <si>
    <t xml:space="preserve">Bootstrapping dos fundadores</t>
  </si>
  <si>
    <t xml:space="preserve">Incubação e aceleração universitária (UCB)</t>
  </si>
  <si>
    <t xml:space="preserve">Editais: FAP-DF, FINEP, Sebrae</t>
  </si>
  <si>
    <t xml:space="preserve">Investimento anjo e pré-seed (após validar o MVP)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</si>
</sst>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;&quot;(R$ &quot;#,##0\);\-"/>
    <numFmt numFmtId="166" formatCode="0.0%;\(0.0%\);\-"/>
    <numFmt numFmtId="167" formatCode="#,##0;\(#,##0\);\-"/>
    <numFmt numFmtId="168" formatCode="&quot;R$ &quot;#,##0.00;&quot;(R$ &quot;#,##0.0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161B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E8EAEE"/>
        <bgColor rgb="FFDDE1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1E7"/>
      </left>
      <right style="thin">
        <color rgb="FFDDE1E7"/>
      </right>
      <top style="thin">
        <color rgb="FFDDE1E7"/>
      </top>
      <bottom style="thin">
        <color rgb="FFDDE1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AEE"/>
      <rgbColor rgb="FF660066"/>
      <rgbColor rgb="FFFF8080"/>
      <rgbColor rgb="FF0066CC"/>
      <rgbColor rgb="FFDDE1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1416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 t="n">
        <v>300</v>
      </c>
      <c r="C5" s="7" t="s">
        <v>6</v>
      </c>
    </row>
    <row r="6" customFormat="false" ht="15" hidden="false" customHeight="false" outlineLevel="0" collapsed="false">
      <c r="A6" s="5" t="s">
        <v>7</v>
      </c>
      <c r="B6" s="8" t="n">
        <v>0.2</v>
      </c>
      <c r="C6" s="7" t="s">
        <v>8</v>
      </c>
    </row>
    <row r="7" customFormat="false" ht="15" hidden="false" customHeight="false" outlineLevel="0" collapsed="false">
      <c r="A7" s="5" t="s">
        <v>9</v>
      </c>
      <c r="B7" s="8" t="n">
        <v>0.03</v>
      </c>
      <c r="C7" s="7" t="s">
        <v>10</v>
      </c>
    </row>
    <row r="8" customFormat="false" ht="15" hidden="false" customHeight="false" outlineLevel="0" collapsed="false">
      <c r="A8" s="5" t="s">
        <v>11</v>
      </c>
      <c r="B8" s="6" t="n">
        <v>25</v>
      </c>
      <c r="C8" s="7" t="s">
        <v>6</v>
      </c>
    </row>
    <row r="9" customFormat="false" ht="15" hidden="false" customHeight="false" outlineLevel="0" collapsed="false">
      <c r="A9" s="5" t="s">
        <v>12</v>
      </c>
      <c r="B9" s="9" t="n">
        <v>6</v>
      </c>
      <c r="C9" s="7" t="s">
        <v>6</v>
      </c>
    </row>
    <row r="10" customFormat="false" ht="15" hidden="false" customHeight="false" outlineLevel="0" collapsed="false">
      <c r="A10" s="5" t="s">
        <v>13</v>
      </c>
      <c r="B10" s="6" t="n">
        <v>5500</v>
      </c>
      <c r="C10" s="7" t="s">
        <v>6</v>
      </c>
    </row>
    <row r="11" customFormat="false" ht="15" hidden="false" customHeight="false" outlineLevel="0" collapsed="false">
      <c r="A11" s="5" t="s">
        <v>14</v>
      </c>
      <c r="B11" s="6" t="n">
        <v>18000</v>
      </c>
      <c r="C11" s="7" t="s">
        <v>6</v>
      </c>
    </row>
    <row r="12" customFormat="false" ht="15" hidden="false" customHeight="false" outlineLevel="0" collapsed="false">
      <c r="A12" s="5" t="s">
        <v>15</v>
      </c>
      <c r="B12" s="10" t="n">
        <v>5.5</v>
      </c>
      <c r="C12" s="7" t="s">
        <v>16</v>
      </c>
    </row>
    <row r="13" customFormat="false" ht="15" hidden="false" customHeight="false" outlineLevel="0" collapsed="false">
      <c r="A13" s="5" t="s">
        <v>17</v>
      </c>
      <c r="B13" s="11" t="n">
        <v>800</v>
      </c>
      <c r="C13" s="7" t="s">
        <v>18</v>
      </c>
    </row>
    <row r="14" customFormat="false" ht="15" hidden="false" customHeight="false" outlineLevel="0" collapsed="false">
      <c r="A14" s="5" t="s">
        <v>19</v>
      </c>
      <c r="B14" s="10" t="n">
        <v>0.3</v>
      </c>
      <c r="C14" s="7" t="s">
        <v>18</v>
      </c>
    </row>
    <row r="15" customFormat="false" ht="15" hidden="false" customHeight="false" outlineLevel="0" collapsed="false">
      <c r="A15" s="5" t="s">
        <v>20</v>
      </c>
      <c r="B15" s="9" t="n">
        <v>3</v>
      </c>
      <c r="C15" s="7" t="s">
        <v>21</v>
      </c>
    </row>
    <row r="16" customFormat="false" ht="15" hidden="false" customHeight="false" outlineLevel="0" collapsed="false">
      <c r="A16" s="5" t="s">
        <v>22</v>
      </c>
      <c r="B16" s="9" t="n">
        <v>3</v>
      </c>
      <c r="C16" s="7" t="s">
        <v>23</v>
      </c>
    </row>
    <row r="17" customFormat="false" ht="15" hidden="false" customHeight="false" outlineLevel="0" collapsed="false">
      <c r="A17" s="5" t="s">
        <v>24</v>
      </c>
      <c r="B17" s="9" t="n">
        <v>300</v>
      </c>
      <c r="C17" s="7" t="s">
        <v>6</v>
      </c>
    </row>
    <row r="18" customFormat="false" ht="15" hidden="false" customHeight="false" outlineLevel="0" collapsed="false">
      <c r="A18" s="5" t="s">
        <v>25</v>
      </c>
      <c r="B18" s="9" t="n">
        <v>500</v>
      </c>
      <c r="C18" s="7" t="s">
        <v>6</v>
      </c>
    </row>
    <row r="19" customFormat="false" ht="15" hidden="false" customHeight="false" outlineLevel="0" collapsed="false">
      <c r="A19" s="5" t="s">
        <v>26</v>
      </c>
      <c r="B19" s="9" t="n">
        <v>1500</v>
      </c>
      <c r="C19" s="7" t="s">
        <v>6</v>
      </c>
    </row>
    <row r="20" customFormat="false" ht="15" hidden="false" customHeight="false" outlineLevel="0" collapsed="false">
      <c r="A20" s="5" t="s">
        <v>27</v>
      </c>
      <c r="B20" s="12" t="n">
        <v>3</v>
      </c>
      <c r="C20" s="7" t="s">
        <v>28</v>
      </c>
    </row>
    <row r="21" customFormat="false" ht="15" hidden="false" customHeight="false" outlineLevel="0" collapsed="false">
      <c r="A21" s="5" t="s">
        <v>29</v>
      </c>
      <c r="B21" s="12" t="n">
        <v>40</v>
      </c>
      <c r="C21" s="7" t="s">
        <v>30</v>
      </c>
    </row>
    <row r="22" customFormat="false" ht="15" hidden="false" customHeight="false" outlineLevel="0" collapsed="false">
      <c r="A22" s="5" t="s">
        <v>31</v>
      </c>
      <c r="B22" s="12" t="n">
        <v>0</v>
      </c>
      <c r="C22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3" t="s">
        <v>35</v>
      </c>
      <c r="B4" s="4" t="s">
        <v>36</v>
      </c>
      <c r="C4" s="4" t="s">
        <v>37</v>
      </c>
      <c r="D4" s="4" t="s">
        <v>38</v>
      </c>
      <c r="E4" s="4" t="s">
        <v>39</v>
      </c>
    </row>
    <row r="5" customFormat="false" ht="15" hidden="false" customHeight="false" outlineLevel="0" collapsed="false">
      <c r="A5" s="5" t="s">
        <v>40</v>
      </c>
      <c r="B5" s="5" t="s">
        <v>41</v>
      </c>
      <c r="C5" s="6" t="n">
        <v>0</v>
      </c>
      <c r="D5" s="13" t="n">
        <f aca="false">C5/$C$13</f>
        <v>0</v>
      </c>
      <c r="E5" s="14" t="n">
        <f aca="false">C5</f>
        <v>0</v>
      </c>
    </row>
    <row r="6" customFormat="false" ht="15" hidden="false" customHeight="false" outlineLevel="0" collapsed="false">
      <c r="A6" s="5" t="s">
        <v>42</v>
      </c>
      <c r="B6" s="5" t="s">
        <v>43</v>
      </c>
      <c r="C6" s="6" t="n">
        <v>7000</v>
      </c>
      <c r="D6" s="13" t="n">
        <f aca="false">C6/$C$13</f>
        <v>0.107692307692308</v>
      </c>
      <c r="E6" s="15" t="n">
        <f aca="false">Stack!C14</f>
        <v>260</v>
      </c>
    </row>
    <row r="7" customFormat="false" ht="15" hidden="false" customHeight="false" outlineLevel="0" collapsed="false">
      <c r="A7" s="5" t="s">
        <v>44</v>
      </c>
      <c r="B7" s="5" t="s">
        <v>45</v>
      </c>
      <c r="C7" s="6" t="n">
        <v>5000</v>
      </c>
      <c r="D7" s="13" t="n">
        <f aca="false">C7/$C$13</f>
        <v>0.0769230769230769</v>
      </c>
      <c r="E7" s="14" t="n">
        <f aca="false">C7</f>
        <v>5000</v>
      </c>
    </row>
    <row r="8" customFormat="false" ht="15" hidden="false" customHeight="false" outlineLevel="0" collapsed="false">
      <c r="A8" s="5" t="s">
        <v>46</v>
      </c>
      <c r="B8" s="5" t="s">
        <v>45</v>
      </c>
      <c r="C8" s="6" t="n">
        <v>6000</v>
      </c>
      <c r="D8" s="13" t="n">
        <f aca="false">C8/$C$13</f>
        <v>0.0923076923076923</v>
      </c>
      <c r="E8" s="14" t="n">
        <f aca="false">C8</f>
        <v>6000</v>
      </c>
    </row>
    <row r="9" customFormat="false" ht="15" hidden="false" customHeight="false" outlineLevel="0" collapsed="false">
      <c r="A9" s="5" t="s">
        <v>47</v>
      </c>
      <c r="B9" s="5" t="s">
        <v>45</v>
      </c>
      <c r="C9" s="6" t="n">
        <v>9000</v>
      </c>
      <c r="D9" s="13" t="n">
        <f aca="false">C9/$C$13</f>
        <v>0.138461538461538</v>
      </c>
      <c r="E9" s="14" t="n">
        <f aca="false">C9</f>
        <v>9000</v>
      </c>
    </row>
    <row r="10" customFormat="false" ht="15" hidden="false" customHeight="false" outlineLevel="0" collapsed="false">
      <c r="A10" s="5" t="s">
        <v>48</v>
      </c>
      <c r="B10" s="5" t="s">
        <v>43</v>
      </c>
      <c r="C10" s="6" t="n">
        <v>18000</v>
      </c>
      <c r="D10" s="13" t="n">
        <f aca="false">C10/$C$13</f>
        <v>0.276923076923077</v>
      </c>
      <c r="E10" s="14" t="n">
        <f aca="false">C10</f>
        <v>18000</v>
      </c>
    </row>
    <row r="11" customFormat="false" ht="15" hidden="false" customHeight="false" outlineLevel="0" collapsed="false">
      <c r="A11" s="5" t="s">
        <v>49</v>
      </c>
      <c r="B11" s="5" t="s">
        <v>50</v>
      </c>
      <c r="C11" s="6" t="n">
        <v>12000</v>
      </c>
      <c r="D11" s="13" t="n">
        <f aca="false">C11/$C$13</f>
        <v>0.184615384615385</v>
      </c>
      <c r="E11" s="14" t="n">
        <f aca="false">C11</f>
        <v>12000</v>
      </c>
    </row>
    <row r="12" customFormat="false" ht="15" hidden="false" customHeight="false" outlineLevel="0" collapsed="false">
      <c r="A12" s="5" t="s">
        <v>51</v>
      </c>
      <c r="B12" s="5" t="s">
        <v>52</v>
      </c>
      <c r="C12" s="6" t="n">
        <v>8000</v>
      </c>
      <c r="D12" s="13" t="n">
        <f aca="false">C12/$C$13</f>
        <v>0.123076923076923</v>
      </c>
      <c r="E12" s="14" t="n">
        <f aca="false">C12</f>
        <v>8000</v>
      </c>
    </row>
    <row r="13" customFormat="false" ht="15" hidden="false" customHeight="false" outlineLevel="0" collapsed="false">
      <c r="A13" s="16" t="s">
        <v>53</v>
      </c>
      <c r="B13" s="17"/>
      <c r="C13" s="18" t="n">
        <f aca="false">SUM(C5:C12)</f>
        <v>65000</v>
      </c>
      <c r="D13" s="19" t="n">
        <f aca="false">SUM(D5:D12)</f>
        <v>1</v>
      </c>
      <c r="E13" s="18" t="n">
        <f aca="false">SUM(E5:E12)</f>
        <v>58260</v>
      </c>
    </row>
    <row r="15" customFormat="false" ht="15" hidden="false" customHeight="false" outlineLevel="0" collapsed="false">
      <c r="A15" s="20" t="s">
        <v>54</v>
      </c>
      <c r="C15" s="15" t="n">
        <f aca="false">C13/Premissas!B9</f>
        <v>10833.3333333333</v>
      </c>
    </row>
    <row r="16" customFormat="false" ht="15" hidden="false" customHeight="false" outlineLevel="0" collapsed="false">
      <c r="A16" s="5" t="s">
        <v>55</v>
      </c>
      <c r="C16" s="15" t="n">
        <f aca="false">C10/Premissas!B15/Premissas!B16</f>
        <v>2000</v>
      </c>
    </row>
    <row r="17" customFormat="false" ht="15" hidden="false" customHeight="false" outlineLevel="0" collapsed="false">
      <c r="A17" s="5" t="s">
        <v>56</v>
      </c>
      <c r="E17" s="21" t="n">
        <f aca="false">C13-E13</f>
        <v>6740</v>
      </c>
    </row>
    <row r="18" customFormat="false" ht="15" hidden="false" customHeight="false" outlineLevel="0" collapsed="false">
      <c r="A18" s="3" t="s">
        <v>57</v>
      </c>
      <c r="B18" s="4"/>
      <c r="C18" s="4" t="s">
        <v>37</v>
      </c>
      <c r="D18" s="4" t="s">
        <v>38</v>
      </c>
    </row>
    <row r="19" customFormat="false" ht="15" hidden="false" customHeight="false" outlineLevel="0" collapsed="false">
      <c r="A19" s="5" t="s">
        <v>45</v>
      </c>
      <c r="B19" s="5"/>
      <c r="C19" s="14" t="n">
        <f aca="false">SUMIF($B$5:$B$12,A19,$C$5:$C$12)</f>
        <v>20000</v>
      </c>
      <c r="D19" s="13" t="n">
        <f aca="false">C19/$C$13</f>
        <v>0.307692307692308</v>
      </c>
    </row>
    <row r="20" customFormat="false" ht="15" hidden="false" customHeight="false" outlineLevel="0" collapsed="false">
      <c r="A20" s="5" t="s">
        <v>43</v>
      </c>
      <c r="B20" s="5"/>
      <c r="C20" s="14" t="n">
        <f aca="false">SUMIF($B$5:$B$12,A20,$C$5:$C$12)</f>
        <v>25000</v>
      </c>
      <c r="D20" s="13" t="n">
        <f aca="false">C20/$C$13</f>
        <v>0.384615384615385</v>
      </c>
    </row>
    <row r="21" customFormat="false" ht="15" hidden="false" customHeight="false" outlineLevel="0" collapsed="false">
      <c r="A21" s="5" t="s">
        <v>50</v>
      </c>
      <c r="B21" s="5"/>
      <c r="C21" s="14" t="n">
        <f aca="false">SUMIF($B$5:$B$12,A21,$C$5:$C$12)</f>
        <v>12000</v>
      </c>
      <c r="D21" s="13" t="n">
        <f aca="false">C21/$C$13</f>
        <v>0.184615384615385</v>
      </c>
    </row>
    <row r="22" customFormat="false" ht="15" hidden="false" customHeight="false" outlineLevel="0" collapsed="false">
      <c r="A22" s="5" t="s">
        <v>52</v>
      </c>
      <c r="B22" s="5"/>
      <c r="C22" s="14" t="n">
        <f aca="false">SUMIF($B$5:$B$12,A22,$C$5:$C$12)</f>
        <v>8000</v>
      </c>
      <c r="D22" s="13" t="n">
        <f aca="false">C22/$C$13</f>
        <v>0.123076923076923</v>
      </c>
    </row>
    <row r="23" customFormat="false" ht="15" hidden="false" customHeight="false" outlineLevel="0" collapsed="false">
      <c r="A23" s="5" t="s">
        <v>41</v>
      </c>
      <c r="B23" s="5"/>
      <c r="C23" s="14" t="n">
        <f aca="false">SUMIF($B$5:$B$12,A23,$C$5:$C$12)</f>
        <v>0</v>
      </c>
      <c r="D23" s="13" t="n">
        <f aca="false">C23/$C$13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35.05" hidden="false" customHeight="false" outlineLevel="0" collapsed="false">
      <c r="A4" s="3" t="s">
        <v>60</v>
      </c>
      <c r="B4" s="4" t="s">
        <v>61</v>
      </c>
      <c r="C4" s="4" t="s">
        <v>62</v>
      </c>
      <c r="D4" s="4" t="s">
        <v>63</v>
      </c>
      <c r="E4" s="4" t="s">
        <v>64</v>
      </c>
    </row>
    <row r="5" customFormat="false" ht="15" hidden="false" customHeight="false" outlineLevel="0" collapsed="false">
      <c r="A5" s="5" t="s">
        <v>65</v>
      </c>
      <c r="B5" s="5" t="s">
        <v>66</v>
      </c>
      <c r="C5" s="22" t="n">
        <v>0</v>
      </c>
      <c r="D5" s="22" t="n">
        <v>0</v>
      </c>
      <c r="E5" s="23" t="s">
        <v>67</v>
      </c>
    </row>
    <row r="6" customFormat="false" ht="22.35" hidden="false" customHeight="false" outlineLevel="0" collapsed="false">
      <c r="A6" s="5" t="s">
        <v>68</v>
      </c>
      <c r="B6" s="5" t="s">
        <v>69</v>
      </c>
      <c r="C6" s="22" t="n">
        <v>0</v>
      </c>
      <c r="D6" s="24" t="n">
        <f aca="false">20*Premissas!B12</f>
        <v>110</v>
      </c>
      <c r="E6" s="23" t="s">
        <v>70</v>
      </c>
    </row>
    <row r="7" customFormat="false" ht="22.35" hidden="false" customHeight="false" outlineLevel="0" collapsed="false">
      <c r="A7" s="5" t="s">
        <v>71</v>
      </c>
      <c r="B7" s="5" t="s">
        <v>72</v>
      </c>
      <c r="C7" s="22" t="n">
        <v>0</v>
      </c>
      <c r="D7" s="24" t="n">
        <f aca="false">25*Premissas!B12</f>
        <v>137.5</v>
      </c>
      <c r="E7" s="23" t="s">
        <v>73</v>
      </c>
    </row>
    <row r="8" customFormat="false" ht="15" hidden="false" customHeight="false" outlineLevel="0" collapsed="false">
      <c r="A8" s="5" t="s">
        <v>74</v>
      </c>
      <c r="B8" s="5" t="s">
        <v>75</v>
      </c>
      <c r="C8" s="22" t="n">
        <v>0</v>
      </c>
      <c r="D8" s="22" t="n">
        <v>0</v>
      </c>
      <c r="E8" s="23" t="s">
        <v>76</v>
      </c>
    </row>
    <row r="9" customFormat="false" ht="32.8" hidden="false" customHeight="false" outlineLevel="0" collapsed="false">
      <c r="A9" s="5" t="s">
        <v>77</v>
      </c>
      <c r="B9" s="5" t="s">
        <v>78</v>
      </c>
      <c r="C9" s="24" t="n">
        <f aca="false">Premissas!B21+Premissas!B22</f>
        <v>40</v>
      </c>
      <c r="D9" s="24" t="n">
        <f aca="false">Premissas!B13*Premissas!B14</f>
        <v>240</v>
      </c>
      <c r="E9" s="23" t="s">
        <v>79</v>
      </c>
    </row>
    <row r="10" customFormat="false" ht="15" hidden="false" customHeight="false" outlineLevel="0" collapsed="false">
      <c r="A10" s="5" t="s">
        <v>80</v>
      </c>
      <c r="B10" s="5" t="s">
        <v>81</v>
      </c>
      <c r="C10" s="25" t="n">
        <f aca="false">40/12</f>
        <v>3.33333333333333</v>
      </c>
      <c r="D10" s="25" t="n">
        <f aca="false">40/12</f>
        <v>3.33333333333333</v>
      </c>
      <c r="E10" s="23" t="s">
        <v>82</v>
      </c>
    </row>
    <row r="11" customFormat="false" ht="15" hidden="false" customHeight="false" outlineLevel="0" collapsed="false">
      <c r="A11" s="5" t="s">
        <v>83</v>
      </c>
      <c r="B11" s="5" t="s">
        <v>84</v>
      </c>
      <c r="C11" s="22" t="n">
        <v>0</v>
      </c>
      <c r="D11" s="22" t="n">
        <v>0</v>
      </c>
      <c r="E11" s="23" t="s">
        <v>85</v>
      </c>
    </row>
    <row r="12" customFormat="false" ht="22.35" hidden="false" customHeight="false" outlineLevel="0" collapsed="false">
      <c r="A12" s="5" t="s">
        <v>86</v>
      </c>
      <c r="B12" s="5" t="s">
        <v>87</v>
      </c>
      <c r="C12" s="22" t="n">
        <v>0</v>
      </c>
      <c r="D12" s="22" t="n">
        <v>0</v>
      </c>
      <c r="E12" s="23" t="s">
        <v>88</v>
      </c>
    </row>
    <row r="13" customFormat="false" ht="15" hidden="false" customHeight="false" outlineLevel="0" collapsed="false">
      <c r="A13" s="16" t="s">
        <v>89</v>
      </c>
      <c r="B13" s="17"/>
      <c r="C13" s="26" t="n">
        <f aca="false">SUM(C5:C12)</f>
        <v>43.3333333333333</v>
      </c>
      <c r="D13" s="26" t="n">
        <f aca="false">SUM(D5:D12)</f>
        <v>490.833333333333</v>
      </c>
      <c r="E13" s="17"/>
    </row>
    <row r="14" customFormat="false" ht="15" hidden="false" customHeight="false" outlineLevel="0" collapsed="false">
      <c r="A14" s="5" t="s">
        <v>90</v>
      </c>
      <c r="B14" s="5"/>
      <c r="C14" s="15" t="n">
        <f aca="false">C13*Premissas!B9</f>
        <v>260</v>
      </c>
      <c r="D14" s="15" t="n">
        <f aca="false">D13*Premissas!B9</f>
        <v>2945</v>
      </c>
    </row>
    <row r="15" customFormat="false" ht="15" hidden="false" customHeight="false" outlineLevel="0" collapsed="false">
      <c r="A15" s="5" t="s">
        <v>91</v>
      </c>
      <c r="B15" s="5"/>
      <c r="C15" s="15" t="n">
        <f aca="false">Investimento!C6</f>
        <v>7000</v>
      </c>
      <c r="D15" s="15" t="n">
        <f aca="false">Investimento!C6</f>
        <v>7000</v>
      </c>
    </row>
    <row r="16" customFormat="false" ht="15" hidden="false" customHeight="false" outlineLevel="0" collapsed="false">
      <c r="A16" s="20" t="s">
        <v>92</v>
      </c>
      <c r="B16" s="5"/>
      <c r="C16" s="21" t="n">
        <f aca="false">C15-C14</f>
        <v>6740</v>
      </c>
      <c r="D16" s="21" t="n">
        <f aca="false">D15-D14</f>
        <v>4055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15" hidden="false" customHeight="false" outlineLevel="0" collapsed="false">
      <c r="A4" s="3" t="s">
        <v>95</v>
      </c>
      <c r="B4" s="4" t="s">
        <v>96</v>
      </c>
      <c r="C4" s="4" t="s">
        <v>97</v>
      </c>
      <c r="D4" s="4" t="s">
        <v>98</v>
      </c>
      <c r="E4" s="4" t="s">
        <v>99</v>
      </c>
      <c r="F4" s="4" t="s">
        <v>64</v>
      </c>
    </row>
    <row r="5" customFormat="false" ht="15" hidden="false" customHeight="false" outlineLevel="0" collapsed="false">
      <c r="A5" s="27" t="s">
        <v>100</v>
      </c>
      <c r="B5" s="27" t="s">
        <v>101</v>
      </c>
      <c r="C5" s="5" t="s">
        <v>102</v>
      </c>
      <c r="D5" s="15" t="n">
        <f aca="false">Investimento!C7</f>
        <v>5000</v>
      </c>
      <c r="E5" s="15" t="n">
        <f aca="false">Investimento!C7</f>
        <v>5000</v>
      </c>
      <c r="F5" s="23" t="s">
        <v>103</v>
      </c>
    </row>
    <row r="6" customFormat="false" ht="15" hidden="false" customHeight="false" outlineLevel="0" collapsed="false">
      <c r="A6" s="27" t="s">
        <v>104</v>
      </c>
      <c r="B6" s="27" t="s">
        <v>105</v>
      </c>
      <c r="C6" s="5" t="s">
        <v>102</v>
      </c>
      <c r="D6" s="15" t="n">
        <f aca="false">Investimento!C8</f>
        <v>6000</v>
      </c>
      <c r="E6" s="15" t="n">
        <f aca="false">Investimento!C8</f>
        <v>6000</v>
      </c>
      <c r="F6" s="23" t="s">
        <v>103</v>
      </c>
    </row>
    <row r="7" customFormat="false" ht="15" hidden="false" customHeight="false" outlineLevel="0" collapsed="false">
      <c r="A7" s="27" t="s">
        <v>106</v>
      </c>
      <c r="B7" s="27" t="s">
        <v>107</v>
      </c>
      <c r="C7" s="5" t="s">
        <v>102</v>
      </c>
      <c r="D7" s="15" t="n">
        <f aca="false">Investimento!C9</f>
        <v>9000</v>
      </c>
      <c r="E7" s="15" t="n">
        <f aca="false">Investimento!C9</f>
        <v>9000</v>
      </c>
      <c r="F7" s="23" t="s">
        <v>103</v>
      </c>
    </row>
    <row r="8" customFormat="false" ht="15" hidden="false" customHeight="false" outlineLevel="0" collapsed="false">
      <c r="A8" s="27" t="s">
        <v>108</v>
      </c>
      <c r="B8" s="27" t="s">
        <v>109</v>
      </c>
      <c r="C8" s="5" t="s">
        <v>110</v>
      </c>
      <c r="D8" s="6" t="n">
        <v>0</v>
      </c>
      <c r="E8" s="6" t="n">
        <v>0</v>
      </c>
      <c r="F8" s="23" t="s">
        <v>111</v>
      </c>
    </row>
    <row r="9" customFormat="false" ht="15" hidden="false" customHeight="false" outlineLevel="0" collapsed="false">
      <c r="A9" s="27" t="s">
        <v>112</v>
      </c>
      <c r="B9" s="27" t="s">
        <v>113</v>
      </c>
      <c r="C9" s="5" t="s">
        <v>102</v>
      </c>
      <c r="D9" s="6" t="n">
        <v>0</v>
      </c>
      <c r="E9" s="6" t="n">
        <v>0</v>
      </c>
      <c r="F9" s="23" t="s">
        <v>114</v>
      </c>
    </row>
    <row r="10" customFormat="false" ht="15" hidden="false" customHeight="false" outlineLevel="0" collapsed="false">
      <c r="A10" s="27" t="s">
        <v>115</v>
      </c>
      <c r="B10" s="27" t="s">
        <v>116</v>
      </c>
      <c r="C10" s="5" t="s">
        <v>102</v>
      </c>
      <c r="D10" s="6" t="n">
        <v>0</v>
      </c>
      <c r="E10" s="6" t="n">
        <v>0</v>
      </c>
      <c r="F10" s="23" t="s">
        <v>117</v>
      </c>
    </row>
    <row r="11" customFormat="false" ht="15" hidden="false" customHeight="false" outlineLevel="0" collapsed="false">
      <c r="A11" s="27" t="s">
        <v>118</v>
      </c>
      <c r="B11" s="27" t="s">
        <v>119</v>
      </c>
      <c r="C11" s="5" t="s">
        <v>102</v>
      </c>
      <c r="D11" s="6" t="n">
        <v>0</v>
      </c>
      <c r="E11" s="6" t="n">
        <v>0</v>
      </c>
      <c r="F11" s="23" t="s">
        <v>120</v>
      </c>
    </row>
    <row r="12" customFormat="false" ht="15" hidden="false" customHeight="false" outlineLevel="0" collapsed="false">
      <c r="A12" s="27" t="s">
        <v>121</v>
      </c>
      <c r="B12" s="27" t="s">
        <v>122</v>
      </c>
      <c r="C12" s="5" t="s">
        <v>102</v>
      </c>
      <c r="D12" s="12" t="n">
        <v>400</v>
      </c>
      <c r="E12" s="12" t="n">
        <v>700</v>
      </c>
      <c r="F12" s="23" t="s">
        <v>123</v>
      </c>
    </row>
    <row r="13" customFormat="false" ht="15" hidden="false" customHeight="false" outlineLevel="0" collapsed="false">
      <c r="A13" s="16" t="s">
        <v>124</v>
      </c>
      <c r="B13" s="17"/>
      <c r="C13" s="17"/>
      <c r="D13" s="18" t="n">
        <f aca="false">SUMIF($C$5:$C$12,"Plataforma",D5:D12)</f>
        <v>20400</v>
      </c>
      <c r="E13" s="18" t="n">
        <f aca="false">SUMIF($C$5:$C$12,"Plataforma",E5:E12)</f>
        <v>20700</v>
      </c>
      <c r="F13" s="17"/>
    </row>
    <row r="14" customFormat="false" ht="15" hidden="false" customHeight="false" outlineLevel="0" collapsed="false">
      <c r="A14" s="5" t="s">
        <v>125</v>
      </c>
      <c r="B14" s="5"/>
      <c r="C14" s="5" t="s">
        <v>102</v>
      </c>
      <c r="D14" s="12" t="n">
        <v>400</v>
      </c>
      <c r="E14" s="12" t="n">
        <v>800</v>
      </c>
      <c r="F14" s="7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15" hidden="false" customHeight="false" outlineLevel="0" collapsed="false">
      <c r="A4" s="3" t="s">
        <v>129</v>
      </c>
      <c r="B4" s="4" t="s">
        <v>37</v>
      </c>
      <c r="C4" s="4" t="s">
        <v>130</v>
      </c>
    </row>
    <row r="5" customFormat="false" ht="15" hidden="false" customHeight="false" outlineLevel="0" collapsed="false">
      <c r="A5" s="5" t="s">
        <v>131</v>
      </c>
      <c r="B5" s="15" t="n">
        <f aca="false">Premissas!B5</f>
        <v>300</v>
      </c>
      <c r="C5" s="7" t="s">
        <v>132</v>
      </c>
    </row>
    <row r="6" customFormat="false" ht="15" hidden="false" customHeight="false" outlineLevel="0" collapsed="false">
      <c r="A6" s="5" t="s">
        <v>7</v>
      </c>
      <c r="B6" s="14" t="n">
        <f aca="false">B5*Premissas!B6</f>
        <v>60</v>
      </c>
      <c r="C6" s="7" t="s">
        <v>133</v>
      </c>
    </row>
    <row r="7" customFormat="false" ht="15" hidden="false" customHeight="false" outlineLevel="0" collapsed="false">
      <c r="A7" s="5" t="s">
        <v>134</v>
      </c>
      <c r="B7" s="14" t="n">
        <f aca="false">B5-B6</f>
        <v>240</v>
      </c>
      <c r="C7" s="7" t="s">
        <v>135</v>
      </c>
    </row>
    <row r="8" customFormat="false" ht="15" hidden="false" customHeight="false" outlineLevel="0" collapsed="false">
      <c r="A8" s="5" t="s">
        <v>136</v>
      </c>
      <c r="B8" s="14" t="n">
        <f aca="false">-B5*Premissas!B7</f>
        <v>-9</v>
      </c>
      <c r="C8" s="7" t="s">
        <v>137</v>
      </c>
    </row>
    <row r="9" customFormat="false" ht="15" hidden="false" customHeight="false" outlineLevel="0" collapsed="false">
      <c r="A9" s="16" t="s">
        <v>138</v>
      </c>
      <c r="B9" s="18" t="n">
        <f aca="false">B6+B8</f>
        <v>51</v>
      </c>
      <c r="C9" s="28"/>
    </row>
    <row r="10" customFormat="false" ht="15" hidden="false" customHeight="false" outlineLevel="0" collapsed="false">
      <c r="A10" s="5" t="s">
        <v>139</v>
      </c>
      <c r="B10" s="14" t="n">
        <f aca="false">-Premissas!B8</f>
        <v>-25</v>
      </c>
      <c r="C10" s="7" t="s">
        <v>140</v>
      </c>
    </row>
    <row r="11" customFormat="false" ht="15" hidden="false" customHeight="false" outlineLevel="0" collapsed="false">
      <c r="A11" s="16" t="s">
        <v>141</v>
      </c>
      <c r="B11" s="18" t="n">
        <f aca="false">B9+B10</f>
        <v>26</v>
      </c>
      <c r="C11" s="28" t="s">
        <v>142</v>
      </c>
    </row>
    <row r="12" customFormat="false" ht="15" hidden="false" customHeight="false" outlineLevel="0" collapsed="false">
      <c r="A12" s="16" t="s">
        <v>143</v>
      </c>
      <c r="B12" s="18" t="n">
        <f aca="false">B9-Premissas!B20</f>
        <v>48</v>
      </c>
      <c r="C12" s="28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8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 t="s">
        <v>146</v>
      </c>
    </row>
    <row r="4" customFormat="false" ht="15" hidden="false" customHeight="false" outlineLevel="0" collapsed="false">
      <c r="A4" s="3" t="s">
        <v>147</v>
      </c>
      <c r="B4" s="4" t="s">
        <v>148</v>
      </c>
      <c r="C4" s="4" t="s">
        <v>149</v>
      </c>
      <c r="D4" s="4" t="s">
        <v>150</v>
      </c>
    </row>
    <row r="5" customFormat="false" ht="15" hidden="false" customHeight="false" outlineLevel="0" collapsed="false">
      <c r="A5" s="5" t="s">
        <v>151</v>
      </c>
      <c r="B5" s="15" t="n">
        <f aca="false">Premissas!B10</f>
        <v>5500</v>
      </c>
      <c r="C5" s="15" t="n">
        <f aca="false">'Unit economics'!B11</f>
        <v>26</v>
      </c>
      <c r="D5" s="29" t="n">
        <f aca="false">IF(C5&gt;0,ROUNDUP(B5/C5,0),0)</f>
        <v>212</v>
      </c>
    </row>
    <row r="6" customFormat="false" ht="15" hidden="false" customHeight="false" outlineLevel="0" collapsed="false">
      <c r="A6" s="5" t="s">
        <v>152</v>
      </c>
      <c r="B6" s="15" t="n">
        <f aca="false">Premissas!B10</f>
        <v>5500</v>
      </c>
      <c r="C6" s="15" t="n">
        <f aca="false">'Unit economics'!B12</f>
        <v>48</v>
      </c>
      <c r="D6" s="29" t="n">
        <f aca="false">IF(C6&gt;0,ROUNDUP(B6/C6,0),0)</f>
        <v>115</v>
      </c>
    </row>
    <row r="7" customFormat="false" ht="15" hidden="false" customHeight="false" outlineLevel="0" collapsed="false">
      <c r="A7" s="5" t="s">
        <v>153</v>
      </c>
      <c r="B7" s="15" t="n">
        <f aca="false">Premissas!B11</f>
        <v>18000</v>
      </c>
      <c r="C7" s="15" t="n">
        <f aca="false">'Unit economics'!B12</f>
        <v>48</v>
      </c>
      <c r="D7" s="29" t="n">
        <f aca="false">IF(C7&gt;0,ROUNDUP(B7/C7,0),0)</f>
        <v>375</v>
      </c>
    </row>
    <row r="10" customFormat="false" ht="15" hidden="false" customHeight="false" outlineLevel="0" collapsed="false">
      <c r="A10" s="3" t="s">
        <v>154</v>
      </c>
      <c r="B10" s="4" t="s">
        <v>155</v>
      </c>
      <c r="C10" s="4" t="s">
        <v>156</v>
      </c>
      <c r="D10" s="4" t="s">
        <v>157</v>
      </c>
    </row>
    <row r="11" customFormat="false" ht="15" hidden="false" customHeight="false" outlineLevel="0" collapsed="false">
      <c r="A11" s="5" t="s">
        <v>158</v>
      </c>
      <c r="B11" s="30" t="n">
        <f aca="false">Premissas!B17</f>
        <v>300</v>
      </c>
      <c r="C11" s="31" t="n">
        <f aca="false">AVERAGE(B11,D11)</f>
        <v>400</v>
      </c>
      <c r="D11" s="30" t="n">
        <f aca="false">Premissas!B18</f>
        <v>500</v>
      </c>
    </row>
    <row r="12" customFormat="false" ht="15" hidden="false" customHeight="false" outlineLevel="0" collapsed="false">
      <c r="A12" s="5" t="s">
        <v>159</v>
      </c>
      <c r="B12" s="14" t="n">
        <f aca="false">B11*Premissas!$B$5</f>
        <v>90000</v>
      </c>
      <c r="C12" s="14" t="n">
        <f aca="false">C11*Premissas!$B$5</f>
        <v>120000</v>
      </c>
      <c r="D12" s="14" t="n">
        <f aca="false">D11*Premissas!$B$5</f>
        <v>150000</v>
      </c>
    </row>
    <row r="13" customFormat="false" ht="15" hidden="false" customHeight="false" outlineLevel="0" collapsed="false">
      <c r="A13" s="5" t="s">
        <v>160</v>
      </c>
      <c r="B13" s="14" t="n">
        <f aca="false">B12*Premissas!$B$6</f>
        <v>18000</v>
      </c>
      <c r="C13" s="14" t="n">
        <f aca="false">C12*Premissas!$B$6</f>
        <v>24000</v>
      </c>
      <c r="D13" s="14" t="n">
        <f aca="false">D12*Premissas!$B$6</f>
        <v>30000</v>
      </c>
    </row>
    <row r="15" customFormat="false" ht="15" hidden="false" customHeight="false" outlineLevel="0" collapsed="false">
      <c r="A15" s="3" t="s">
        <v>161</v>
      </c>
      <c r="B15" s="4" t="s">
        <v>3</v>
      </c>
      <c r="C15" s="4"/>
      <c r="D15" s="4"/>
    </row>
    <row r="16" customFormat="false" ht="15" hidden="false" customHeight="false" outlineLevel="0" collapsed="false">
      <c r="A16" s="5" t="s">
        <v>162</v>
      </c>
      <c r="B16" s="30" t="n">
        <f aca="false">Premissas!B19</f>
        <v>1500</v>
      </c>
    </row>
    <row r="17" customFormat="false" ht="15" hidden="false" customHeight="false" outlineLevel="0" collapsed="false">
      <c r="A17" s="5" t="s">
        <v>163</v>
      </c>
      <c r="B17" s="14" t="n">
        <f aca="false">B16*Premissas!B5</f>
        <v>450000</v>
      </c>
    </row>
    <row r="18" customFormat="false" ht="15" hidden="false" customHeight="false" outlineLevel="0" collapsed="false">
      <c r="A18" s="5" t="s">
        <v>164</v>
      </c>
      <c r="B18" s="14" t="n">
        <f aca="false">B17*Premissas!B6</f>
        <v>90000</v>
      </c>
    </row>
    <row r="19" customFormat="false" ht="15" hidden="false" customHeight="false" outlineLevel="0" collapsed="false">
      <c r="A19" s="16" t="s">
        <v>165</v>
      </c>
      <c r="B19" s="18" t="n">
        <f aca="false">B16*'Unit economics'!B12</f>
        <v>72000</v>
      </c>
    </row>
    <row r="20" customFormat="false" ht="15" hidden="false" customHeight="false" outlineLevel="0" collapsed="false">
      <c r="A20" s="5" t="s">
        <v>166</v>
      </c>
      <c r="B20" s="14" t="n">
        <f aca="false">B19-Premissas!B11</f>
        <v>54000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4" customFormat="false" ht="15" hidden="false" customHeight="false" outlineLevel="0" collapsed="false">
      <c r="A4" s="3" t="s">
        <v>4</v>
      </c>
      <c r="B4" s="4" t="s">
        <v>169</v>
      </c>
      <c r="C4" s="4" t="s">
        <v>170</v>
      </c>
      <c r="D4" s="4" t="s">
        <v>171</v>
      </c>
    </row>
    <row r="5" customFormat="false" ht="15" hidden="false" customHeight="false" outlineLevel="0" collapsed="false">
      <c r="A5" s="5" t="s">
        <v>172</v>
      </c>
      <c r="B5" s="5" t="s">
        <v>173</v>
      </c>
      <c r="C5" s="27" t="s">
        <v>174</v>
      </c>
      <c r="D5" s="15" t="n">
        <f aca="false">'Unit economics'!B6</f>
        <v>60</v>
      </c>
    </row>
    <row r="6" customFormat="false" ht="15" hidden="false" customHeight="false" outlineLevel="0" collapsed="false">
      <c r="A6" s="5" t="s">
        <v>175</v>
      </c>
      <c r="B6" s="5" t="s">
        <v>176</v>
      </c>
      <c r="C6" s="27" t="s">
        <v>177</v>
      </c>
      <c r="D6" s="5" t="s">
        <v>178</v>
      </c>
    </row>
    <row r="7" customFormat="false" ht="15" hidden="false" customHeight="false" outlineLevel="0" collapsed="false">
      <c r="A7" s="5" t="s">
        <v>179</v>
      </c>
      <c r="B7" s="5" t="s">
        <v>180</v>
      </c>
      <c r="C7" s="27" t="s">
        <v>181</v>
      </c>
      <c r="D7" s="5" t="s">
        <v>178</v>
      </c>
    </row>
    <row r="8" customFormat="false" ht="15" hidden="false" customHeight="false" outlineLevel="0" collapsed="false">
      <c r="A8" s="5" t="s">
        <v>182</v>
      </c>
      <c r="B8" s="5" t="s">
        <v>180</v>
      </c>
      <c r="C8" s="27" t="s">
        <v>183</v>
      </c>
      <c r="D8" s="5" t="s">
        <v>178</v>
      </c>
    </row>
    <row r="10" customFormat="false" ht="15" hidden="false" customHeight="false" outlineLevel="0" collapsed="false">
      <c r="A10" s="3" t="s">
        <v>184</v>
      </c>
      <c r="B10" s="4"/>
      <c r="C10" s="4"/>
      <c r="D10" s="4"/>
    </row>
    <row r="11" customFormat="false" ht="15" hidden="false" customHeight="false" outlineLevel="0" collapsed="false">
      <c r="A11" s="5" t="s">
        <v>185</v>
      </c>
    </row>
    <row r="12" customFormat="false" ht="15" hidden="false" customHeight="false" outlineLevel="0" collapsed="false">
      <c r="A12" s="5" t="s">
        <v>186</v>
      </c>
    </row>
    <row r="13" customFormat="false" ht="15" hidden="false" customHeight="false" outlineLevel="0" collapsed="false">
      <c r="A13" s="5" t="s">
        <v>187</v>
      </c>
    </row>
    <row r="14" customFormat="false" ht="15" hidden="false" customHeight="false" outlineLevel="0" collapsed="false">
      <c r="A14" s="5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2026-10-29T01:56:17Z</dcterms:created>
  <dc:creator>openpyxl</dc:creator>
  <dc:description/>
  <dc:language>en-US</dc:language>
  <cp:lastModifiedBy/>
  <dcterms:modified xsi:type="dcterms:W3CDTF">2026-10-29T01:56:17Z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